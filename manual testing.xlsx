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46A967-5CB4-491E-AF19-74F819EAD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1" i="1" l="1"/>
  <c r="E182" i="1"/>
  <c r="E185" i="1"/>
  <c r="E179" i="1"/>
  <c r="E180" i="1"/>
  <c r="E184" i="1"/>
  <c r="E183" i="1"/>
</calcChain>
</file>

<file path=xl/sharedStrings.xml><?xml version="1.0" encoding="utf-8"?>
<sst xmlns="http://schemas.openxmlformats.org/spreadsheetml/2006/main" count="434" uniqueCount="327">
  <si>
    <t>Test Case Number</t>
  </si>
  <si>
    <t>Test Case Scenario</t>
  </si>
  <si>
    <t>Input</t>
  </si>
  <si>
    <t>Expected Output</t>
  </si>
  <si>
    <t>Status</t>
  </si>
  <si>
    <t>1. Login Page</t>
  </si>
  <si>
    <t>Login with valid Employee credentials</t>
  </si>
  <si>
    <t>EMP030120, Password</t>
  </si>
  <si>
    <t>Loged in employee account</t>
  </si>
  <si>
    <t>Pass</t>
  </si>
  <si>
    <t>Login with valid Reviewer credentials</t>
  </si>
  <si>
    <t>RW030120, Password</t>
  </si>
  <si>
    <t>Loged in Reviewer account</t>
  </si>
  <si>
    <t>Login with valid Manager credentials</t>
  </si>
  <si>
    <t>MN030120, Password</t>
  </si>
  <si>
    <t>Loged in Manager account</t>
  </si>
  <si>
    <t>Login with valid Administrator credentials</t>
  </si>
  <si>
    <t>AD030120, Password</t>
  </si>
  <si>
    <t>Loged in Administrator account</t>
  </si>
  <si>
    <t>Login with invalid employee ID</t>
  </si>
  <si>
    <t>emp12345</t>
  </si>
  <si>
    <t>Small letters of ID are not allowed</t>
  </si>
  <si>
    <t>Failure</t>
  </si>
  <si>
    <t>Login with invalid Reviewer ID</t>
  </si>
  <si>
    <t>rw12345</t>
  </si>
  <si>
    <t>Login with invalid Manager ID</t>
  </si>
  <si>
    <t>mn12345</t>
  </si>
  <si>
    <t>Login with invalid Administrator ID</t>
  </si>
  <si>
    <t>ad12345</t>
  </si>
  <si>
    <t>Login with invalid password</t>
  </si>
  <si>
    <t>EMP030120, WrongPassword123</t>
  </si>
  <si>
    <t>Invalid password message should be displayed and login should not proceed</t>
  </si>
  <si>
    <t>Login with empty Employee ID</t>
  </si>
  <si>
    <t>Employee ID blank, Password123!</t>
  </si>
  <si>
    <t>Employee ID validation should be displayed and login should not proceed</t>
  </si>
  <si>
    <t>Login with empty password</t>
  </si>
  <si>
    <t>EMP030120, Password blank</t>
  </si>
  <si>
    <t>Password validation should be displayed and login should not proceed</t>
  </si>
  <si>
    <t>Login with both fields empty</t>
  </si>
  <si>
    <t>Employee ID blank, Password blank</t>
  </si>
  <si>
    <t>Required-field validation should be displayed</t>
  </si>
  <si>
    <t>Verify password masking</t>
  </si>
  <si>
    <t>Enter Password123! in password field</t>
  </si>
  <si>
    <t>Password characters should be masked</t>
  </si>
  <si>
    <t>2. Registration Page</t>
  </si>
  <si>
    <t>Verify registration with valid details</t>
  </si>
  <si>
    <t>Valid/invalid name, email, password, confirm password, role</t>
  </si>
  <si>
    <t>Account registration should proceed to email verification.</t>
  </si>
  <si>
    <t>Validate full name</t>
  </si>
  <si>
    <t>Leave Full Name blank</t>
  </si>
  <si>
    <t>Full Name validation message should be displayed and registration should not proceed</t>
  </si>
  <si>
    <t>Validate email format</t>
  </si>
  <si>
    <t>Enter john.kumar@example</t>
  </si>
  <si>
    <t>Email validation message should be displayed</t>
  </si>
  <si>
    <t>Validate password minimum length</t>
  </si>
  <si>
    <t>Enter Ab1@xyz (7 characters)</t>
  </si>
  <si>
    <t>Minimum 8 character validation should be displayed</t>
  </si>
  <si>
    <t>Validate uppercase requirement</t>
  </si>
  <si>
    <t>Enter john@1234 without uppercase letter</t>
  </si>
  <si>
    <t>Uppercase requirement validation should be displayed</t>
  </si>
  <si>
    <t>Validate lowercase requirement</t>
  </si>
  <si>
    <t>Enter JOHN@1234 without lowercase letter</t>
  </si>
  <si>
    <t>Lowercase requirement validation should be displayed</t>
  </si>
  <si>
    <t>Validate number requirement</t>
  </si>
  <si>
    <t>Enter John@abcd without a number</t>
  </si>
  <si>
    <t>Number requirement validation should be displayed</t>
  </si>
  <si>
    <t>Validate special-character requirement</t>
  </si>
  <si>
    <t>Enter John1234 without a special character</t>
  </si>
  <si>
    <t>Special-character requirement validation should be displayed</t>
  </si>
  <si>
    <t>Validate confirm password</t>
  </si>
  <si>
    <t>New password: NewPass@123, Confirm: NewPass@124</t>
  </si>
  <si>
    <t>Password mismatch message should be displayed</t>
  </si>
  <si>
    <t>Register with valid details</t>
  </si>
  <si>
    <t>John Kumar, john.kumar@example.com, Emp@1234, Emp@1234, Employee</t>
  </si>
  <si>
    <t>Account registration should proceed to email verification</t>
  </si>
  <si>
    <t>Validate duplicate email</t>
  </si>
  <si>
    <t>Use john.kumar@example.com which is already registered</t>
  </si>
  <si>
    <t>Duplicate registration should be prevented with an appropriate message</t>
  </si>
  <si>
    <t>Verify Employee role prefix</t>
  </si>
  <si>
    <t>Select Employee role</t>
  </si>
  <si>
    <t>EMP prefix should be shown</t>
  </si>
  <si>
    <t>Verify Reviewer role prefix</t>
  </si>
  <si>
    <t>Select Reviewer role</t>
  </si>
  <si>
    <t>RW prefix should be shown</t>
  </si>
  <si>
    <t>Verify Manager role prefix</t>
  </si>
  <si>
    <t>Select Manager role</t>
  </si>
  <si>
    <t>MN prefix should be shown</t>
  </si>
  <si>
    <t>Verify Administrator role prefix</t>
  </si>
  <si>
    <t>Select Administrator role</t>
  </si>
  <si>
    <t>AD prefix should be shown</t>
  </si>
  <si>
    <t>3. Email Verification</t>
  </si>
  <si>
    <t>Verify valid verification code</t>
  </si>
  <si>
    <t>Enter the valid verification code received for john.kumar@example.com</t>
  </si>
  <si>
    <t>Email should be verified successfully</t>
  </si>
  <si>
    <t>Verify invalid verification code</t>
  </si>
  <si>
    <t>Enter 000000 as verification code</t>
  </si>
  <si>
    <t>Verification should fail with an appropriate error</t>
  </si>
  <si>
    <t>Verify expired verification code</t>
  </si>
  <si>
    <t>Enter an expired verification code</t>
  </si>
  <si>
    <t>Expired verification code should be rejected</t>
  </si>
  <si>
    <t>Verify resend verification code</t>
  </si>
  <si>
    <t>Click Resend Verification Code</t>
  </si>
  <si>
    <t>A new verification code should be sent</t>
  </si>
  <si>
    <t>Verify unverified account access</t>
  </si>
  <si>
    <t>Try to continue before verifying john.kumar@example.com</t>
  </si>
  <si>
    <t>Access should be restricted until email verification is completed</t>
  </si>
  <si>
    <t>4. Forgot / Reset Password</t>
  </si>
  <si>
    <t>Open Forgot Password</t>
  </si>
  <si>
    <t>Click Forgot Password on the Login page</t>
  </si>
  <si>
    <t>Password recovery page/flow should open</t>
  </si>
  <si>
    <t>Submit registered email</t>
  </si>
  <si>
    <t>Enter john.kumar@example.com</t>
  </si>
  <si>
    <t>Password reset instructions/code should be sent</t>
  </si>
  <si>
    <t>Submit unregistered email</t>
  </si>
  <si>
    <t>Enter unknown.user@example.com</t>
  </si>
  <si>
    <t>System should handle the request with an appropriate response</t>
  </si>
  <si>
    <t>Reset with valid code</t>
  </si>
  <si>
    <t>Valid reset code, NewPass@123, NewPass@123</t>
  </si>
  <si>
    <t>Password should be reset successfully</t>
  </si>
  <si>
    <t>Reset with invalid code</t>
  </si>
  <si>
    <t>Enter 000000 as reset code with NewPass@123</t>
  </si>
  <si>
    <t>Password reset should fail</t>
  </si>
  <si>
    <t>Validate new password</t>
  </si>
  <si>
    <t>Enter password abc123 that does not meet password rules</t>
  </si>
  <si>
    <t>Password validation should prevent reset</t>
  </si>
  <si>
    <t>Login after password reset</t>
  </si>
  <si>
    <t>EMP030120, NewPass@123</t>
  </si>
  <si>
    <t>User should be able to login with the new password</t>
  </si>
  <si>
    <t>5. Role Based Access Control</t>
  </si>
  <si>
    <t>Verify Employee permissions</t>
  </si>
  <si>
    <t>Login as EMP030120 (Employee)</t>
  </si>
  <si>
    <t>Employee should access only permitted modules</t>
  </si>
  <si>
    <t>Verify Reviewer permissions</t>
  </si>
  <si>
    <t>Login as RW030120 (Reviewer)</t>
  </si>
  <si>
    <t>Reviewer should access only permitted modules</t>
  </si>
  <si>
    <t>Verify Manager permissions</t>
  </si>
  <si>
    <t>Login as MN030120 (Manager)</t>
  </si>
  <si>
    <t>Manager should access only permitted modules</t>
  </si>
  <si>
    <t>Verify Administrator permissions</t>
  </si>
  <si>
    <t>Login as AD030120 (Administrator)</t>
  </si>
  <si>
    <t>Administrator should access authorized administrative modules</t>
  </si>
  <si>
    <t>Employee attempts restricted action</t>
  </si>
  <si>
    <t>EMP030120 attempts Administrator-only action</t>
  </si>
  <si>
    <t>Unauthorized action should be blocked</t>
  </si>
  <si>
    <t>Reviewer attempts restricted action</t>
  </si>
  <si>
    <t>RW030120 attempts restricted Administrator action</t>
  </si>
  <si>
    <t>Manager attempts restricted action</t>
  </si>
  <si>
    <t>MN030120 attempts restricted action</t>
  </si>
  <si>
    <t>6. Dashboard</t>
  </si>
  <si>
    <t>Verify dashboard after login</t>
  </si>
  <si>
    <t>Login with EMP030120 and valid password</t>
  </si>
  <si>
    <t>Correct dashboard should be displayed</t>
  </si>
  <si>
    <t>Verify role-specific dashboard</t>
  </si>
  <si>
    <t>Login separately as EMP030120, RW030120, MN030120 and AD030120</t>
  </si>
  <si>
    <t>Dashboard content should match the user's role</t>
  </si>
  <si>
    <t>Verify dashboard navigation</t>
  </si>
  <si>
    <t>Click Decisions, Notifications and other available menu options</t>
  </si>
  <si>
    <t>Correct module should open</t>
  </si>
  <si>
    <t>Verify dashboard data</t>
  </si>
  <si>
    <t>Open dashboard with existing decision records</t>
  </si>
  <si>
    <t>Relevant dashboard information should load correctly</t>
  </si>
  <si>
    <t>Verify empty dashboard state</t>
  </si>
  <si>
    <t>Open dashboard for a user with no applicable records</t>
  </si>
  <si>
    <t>Clear empty-state message should be displayed</t>
  </si>
  <si>
    <t>7. Decision Creation &amp; Management</t>
  </si>
  <si>
    <t>Create decision with valid details</t>
  </si>
  <si>
    <t>Title: Vendor Access Review; Description: Review access for new vendor; required fields completed</t>
  </si>
  <si>
    <t>Decision should be created successfully</t>
  </si>
  <si>
    <t>Create decision with missing required field</t>
  </si>
  <si>
    <t>Leave decision title blank and submit</t>
  </si>
  <si>
    <t>Validation should prevent incomplete decision creation</t>
  </si>
  <si>
    <t>View decision details</t>
  </si>
  <si>
    <t>Open decision: Vendor Access Review</t>
  </si>
  <si>
    <t>Decision details should be displayed correctly</t>
  </si>
  <si>
    <t>Edit decision</t>
  </si>
  <si>
    <t>Change description of Vendor Access Review and save</t>
  </si>
  <si>
    <t>Updated decision should be saved</t>
  </si>
  <si>
    <t>Cancel decision creation</t>
  </si>
  <si>
    <t>Enter Vendor Access Review details and click Cancel</t>
  </si>
  <si>
    <t>Unsaved decision should not be created</t>
  </si>
  <si>
    <t>Edit decision without permission</t>
  </si>
  <si>
    <t>Employee attempts to edit a decision without edit permission</t>
  </si>
  <si>
    <t>Edit action should be blocked</t>
  </si>
  <si>
    <t>8. Decision Rationale &amp; Risk</t>
  </si>
  <si>
    <t>Add decision rationale</t>
  </si>
  <si>
    <t>Business rationale: Reduce unauthorized vendor access</t>
  </si>
  <si>
    <t>Rationale should be saved with the decision</t>
  </si>
  <si>
    <t>Add trade-offs</t>
  </si>
  <si>
    <t>Trade-offs: Faster approval vs additional review effort</t>
  </si>
  <si>
    <t>Trade-offs should be saved and displayed</t>
  </si>
  <si>
    <t>Add risk assessment</t>
  </si>
  <si>
    <t>Risk: Medium; Impact: Unauthorized access if controls are missed</t>
  </si>
  <si>
    <t>Risk assessment should be saved and displayed</t>
  </si>
  <si>
    <t>Update rationale</t>
  </si>
  <si>
    <t>Change rationale to include quarterly access review</t>
  </si>
  <si>
    <t>Updated rationale should be saved</t>
  </si>
  <si>
    <t>Verify rationale in decision history</t>
  </si>
  <si>
    <t>Open history after updating Vendor Access Review rationale</t>
  </si>
  <si>
    <t>Rationale should remain traceable</t>
  </si>
  <si>
    <t>9. Review &amp; Approval</t>
  </si>
  <si>
    <t>Submit decision for review</t>
  </si>
  <si>
    <t>Create Vendor Access Review and click Submit for Review</t>
  </si>
  <si>
    <t>Decision should move to review stage</t>
  </si>
  <si>
    <t>Reviewer opens assigned decision</t>
  </si>
  <si>
    <t>Login as RW030120 and open assigned Vendor Access Review</t>
  </si>
  <si>
    <t>Assigned decision should be accessible</t>
  </si>
  <si>
    <t>Reviewer approves decision</t>
  </si>
  <si>
    <t>RW030120 reviews Vendor Access Review and clicks Approve</t>
  </si>
  <si>
    <t>Approval should be recorded</t>
  </si>
  <si>
    <t>Reviewer rejects decision</t>
  </si>
  <si>
    <t>RW030120 clicks Reject and enters reason: Additional evidence required</t>
  </si>
  <si>
    <t>Rejection should be recorded and status updated</t>
  </si>
  <si>
    <t>Manager approves decision</t>
  </si>
  <si>
    <t>MN030120 reviews the decision and clicks Approve</t>
  </si>
  <si>
    <t>Manager approval should be recorded</t>
  </si>
  <si>
    <t>Manager rejects decision</t>
  </si>
  <si>
    <t>MN030120 clicks Reject and enters reason: Risk requires mitigation</t>
  </si>
  <si>
    <t>Manager rejection should be recorded</t>
  </si>
  <si>
    <t>Unauthorized approval attempt</t>
  </si>
  <si>
    <t>EMP030120 attempts to approve a review-stage decision</t>
  </si>
  <si>
    <t>Approval action should be blocked</t>
  </si>
  <si>
    <t>Verify multi-level approval</t>
  </si>
  <si>
    <t>Complete Reviewer approval followed by Manager approval</t>
  </si>
  <si>
    <t>Approval should follow the configured workflow</t>
  </si>
  <si>
    <t>10. Reviewer Evaluation &amp; Comments</t>
  </si>
  <si>
    <t>Add reviewer evaluation</t>
  </si>
  <si>
    <t>RW030120 enters evaluation: Evidence is sufficient</t>
  </si>
  <si>
    <t>Evaluation should be saved</t>
  </si>
  <si>
    <t>Add peer comment</t>
  </si>
  <si>
    <t>RW030120 comments: Please attach the latest access report</t>
  </si>
  <si>
    <t>Comment should be associated with the decision</t>
  </si>
  <si>
    <t>Verify comment visibility</t>
  </si>
  <si>
    <t>Open Vendor Access Review as an authorized participant</t>
  </si>
  <si>
    <t>Relevant comments should be visible</t>
  </si>
  <si>
    <t>Unauthorized comment access</t>
  </si>
  <si>
    <t>Unauthorized user attempts to view restricted discussion/comment</t>
  </si>
  <si>
    <t>Unauthorized access should be blocked</t>
  </si>
  <si>
    <t>11. Discussions &amp; Collaboration</t>
  </si>
  <si>
    <t>Create discussion</t>
  </si>
  <si>
    <t>Add discussion: Vendor access evidence required</t>
  </si>
  <si>
    <t>Discussion should be created</t>
  </si>
  <si>
    <t>Reply to discussion</t>
  </si>
  <si>
    <t>Reply: I will attach the access report today</t>
  </si>
  <si>
    <t>Reply should appear in the thread</t>
  </si>
  <si>
    <t>Verify discussion context</t>
  </si>
  <si>
    <t>Open the discussion from Vendor Access Review</t>
  </si>
  <si>
    <t>Discussion should remain linked to the correct decision</t>
  </si>
  <si>
    <t>Submit empty comment</t>
  </si>
  <si>
    <t>Leave discussion comment blank and click Submit</t>
  </si>
  <si>
    <t>Blank comment should be rejected or handled correctly</t>
  </si>
  <si>
    <t>Open knowledge repository</t>
  </si>
  <si>
    <t>Navigate to Knowledge Repository</t>
  </si>
  <si>
    <t>Repository should load</t>
  </si>
  <si>
    <t>Search previous decisions</t>
  </si>
  <si>
    <t>Search for Vendor Access Review</t>
  </si>
  <si>
    <t>Matching decisions should be displayed</t>
  </si>
  <si>
    <t>Open repository decision</t>
  </si>
  <si>
    <t>Open the Vendor Access Review search result</t>
  </si>
  <si>
    <t>Decision details should open</t>
  </si>
  <si>
    <t>Search with no results</t>
  </si>
  <si>
    <t>Search for NonExistingDecisionXYZ</t>
  </si>
  <si>
    <t>No-results message should be displayed</t>
  </si>
  <si>
    <t>Search by keyword</t>
  </si>
  <si>
    <t>Search for Vendor Access</t>
  </si>
  <si>
    <t>Matching records should be displayed</t>
  </si>
  <si>
    <t>Filter by tag</t>
  </si>
  <si>
    <t>Select tag: Security</t>
  </si>
  <si>
    <t>Only matching records should be displayed</t>
  </si>
  <si>
    <t>Filter by department</t>
  </si>
  <si>
    <t>Select department: IT</t>
  </si>
  <si>
    <t>Filter by status</t>
  </si>
  <si>
    <t>Select status: Under Review</t>
  </si>
  <si>
    <t>Filter by impact level</t>
  </si>
  <si>
    <t>Select impact level: High</t>
  </si>
  <si>
    <t>Apply multiple filters</t>
  </si>
  <si>
    <t>Select Department: IT and Status: Under Review</t>
  </si>
  <si>
    <t>Results should satisfy selected filters</t>
  </si>
  <si>
    <t>Clear filters</t>
  </si>
  <si>
    <t>Apply filters and click Clear Filters</t>
  </si>
  <si>
    <t>Default/full result set should be restored</t>
  </si>
  <si>
    <t>View user profile</t>
  </si>
  <si>
    <t>Open Profile / Account for EMP030120</t>
  </si>
  <si>
    <t>User profile should be displayed</t>
  </si>
  <si>
    <t>Verify Employee ID</t>
  </si>
  <si>
    <t>Open account details for EMP030120</t>
  </si>
  <si>
    <t>Correct Employee ID should be displayed</t>
  </si>
  <si>
    <t>Verify assigned role</t>
  </si>
  <si>
    <t>Correct role should be displayed</t>
  </si>
  <si>
    <t>Update permitted profile data</t>
  </si>
  <si>
    <t>Update allowed profile field such as display name to John Kumar</t>
  </si>
  <si>
    <t>Updated profile data should be saved</t>
  </si>
  <si>
    <t>Logout successfully</t>
  </si>
  <si>
    <t>Click Logout from EMP030120 account</t>
  </si>
  <si>
    <t>User should be logged out successfully</t>
  </si>
  <si>
    <t>Access protected page after logout</t>
  </si>
  <si>
    <t>Logout and open /dashboard</t>
  </si>
  <si>
    <t>Protected content should not be accessible</t>
  </si>
  <si>
    <t>Browser back after logout</t>
  </si>
  <si>
    <t>Logout and press browser Back</t>
  </si>
  <si>
    <t>Logged-out user should not regain protected access</t>
  </si>
  <si>
    <t>Verify session handling</t>
  </si>
  <si>
    <t>Navigate between protected modules during active session</t>
  </si>
  <si>
    <t>Authorized session should remain valid according to session rules</t>
  </si>
  <si>
    <t>12. Knowledge Repository</t>
  </si>
  <si>
    <t>13. Search &amp; Filters</t>
  </si>
  <si>
    <t>14. Profile / Account</t>
  </si>
  <si>
    <t>15. Logout &amp; Session</t>
  </si>
  <si>
    <t>New password: NewPass@123, Confirm: NewPass@123</t>
  </si>
  <si>
    <t>Password matches message should be displayed</t>
  </si>
  <si>
    <t>Test Coverage</t>
  </si>
  <si>
    <t>Test Execution</t>
  </si>
  <si>
    <t>Pass Rate</t>
  </si>
  <si>
    <t>Fail Rate</t>
  </si>
  <si>
    <t>Metric</t>
  </si>
  <si>
    <t>Formula</t>
  </si>
  <si>
    <t>Values</t>
  </si>
  <si>
    <t>(Requirements Tested ÷ Total Requirements) × 100</t>
  </si>
  <si>
    <t>(Executed Test Cases ÷ Total Test Cases) × 100</t>
  </si>
  <si>
    <t>(Passed Test Cases ÷ Executed Test Cases) × 100</t>
  </si>
  <si>
    <t>(Failed Test Cases ÷ Executed Test Cases) × 100</t>
  </si>
  <si>
    <t>Number of Defects ÷ KLOC</t>
  </si>
  <si>
    <t>Sum of Values ÷ Number of Values</t>
  </si>
  <si>
    <t>Middle value after sorting</t>
  </si>
  <si>
    <t>Valid Test Case Percentage</t>
  </si>
  <si>
    <t>Invalid Test Case Percentage</t>
  </si>
  <si>
    <t>Defect Detection Rate</t>
  </si>
  <si>
    <t>Metric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</si>
</sst>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4"/>
  <sheetViews>
    <sheetView tabSelected="1" zoomScale="87" workbookViewId="0">
      <selection activeCell="B182" sqref="B182"/>
    </sheetView>
  </sheetViews>
  <sheetFormatPr defaultRowHeight="14.4" x14ac:dyDescent="0.3"/>
  <cols>
    <col min="1" max="1" width="19.21875" customWidth="1"/>
    <col min="2" max="2" width="24" customWidth="1"/>
    <col min="3" max="3" width="42.21875" customWidth="1"/>
    <col min="4" max="4" width="47" customWidth="1"/>
    <col min="5" max="5" width="52.109375" customWidth="1"/>
    <col min="6" max="6" width="14.109375" customWidth="1"/>
  </cols>
  <sheetData>
    <row r="1" spans="2:6" ht="18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ht="18" customHeight="1" x14ac:dyDescent="0.35">
      <c r="B2" s="1"/>
      <c r="C2" s="1"/>
      <c r="D2" s="1"/>
      <c r="E2" s="1"/>
      <c r="F2" s="1"/>
    </row>
    <row r="4" spans="2:6" ht="18" customHeight="1" x14ac:dyDescent="0.35">
      <c r="B4" s="8" t="s">
        <v>5</v>
      </c>
      <c r="C4" s="9"/>
      <c r="D4" s="9"/>
      <c r="E4" s="9"/>
      <c r="F4" s="9"/>
    </row>
    <row r="5" spans="2:6" ht="18" customHeight="1" x14ac:dyDescent="0.3">
      <c r="B5" s="2">
        <v>1</v>
      </c>
      <c r="C5" s="3" t="s">
        <v>6</v>
      </c>
      <c r="D5" s="3" t="s">
        <v>7</v>
      </c>
      <c r="E5" s="3" t="s">
        <v>8</v>
      </c>
      <c r="F5" s="3" t="s">
        <v>9</v>
      </c>
    </row>
    <row r="6" spans="2:6" x14ac:dyDescent="0.3">
      <c r="B6" s="2">
        <v>2</v>
      </c>
      <c r="C6" s="3" t="s">
        <v>10</v>
      </c>
      <c r="D6" s="3" t="s">
        <v>11</v>
      </c>
      <c r="E6" s="3" t="s">
        <v>12</v>
      </c>
      <c r="F6" s="3" t="s">
        <v>9</v>
      </c>
    </row>
    <row r="7" spans="2:6" x14ac:dyDescent="0.3">
      <c r="B7" s="2">
        <v>3</v>
      </c>
      <c r="C7" s="3" t="s">
        <v>13</v>
      </c>
      <c r="D7" s="3" t="s">
        <v>14</v>
      </c>
      <c r="E7" s="3" t="s">
        <v>15</v>
      </c>
      <c r="F7" s="3" t="s">
        <v>9</v>
      </c>
    </row>
    <row r="8" spans="2:6" x14ac:dyDescent="0.3">
      <c r="B8" s="2">
        <v>4</v>
      </c>
      <c r="C8" s="3" t="s">
        <v>16</v>
      </c>
      <c r="D8" s="3" t="s">
        <v>17</v>
      </c>
      <c r="E8" s="3" t="s">
        <v>18</v>
      </c>
      <c r="F8" s="3" t="s">
        <v>9</v>
      </c>
    </row>
    <row r="9" spans="2:6" x14ac:dyDescent="0.3">
      <c r="B9" s="2">
        <v>5</v>
      </c>
      <c r="C9" s="3" t="s">
        <v>19</v>
      </c>
      <c r="D9" s="3" t="s">
        <v>20</v>
      </c>
      <c r="E9" s="3" t="s">
        <v>21</v>
      </c>
      <c r="F9" s="3" t="s">
        <v>22</v>
      </c>
    </row>
    <row r="10" spans="2:6" x14ac:dyDescent="0.3">
      <c r="B10" s="2">
        <v>6</v>
      </c>
      <c r="C10" s="3" t="s">
        <v>23</v>
      </c>
      <c r="D10" s="3" t="s">
        <v>24</v>
      </c>
      <c r="E10" s="3" t="s">
        <v>21</v>
      </c>
      <c r="F10" s="3" t="s">
        <v>22</v>
      </c>
    </row>
    <row r="11" spans="2:6" x14ac:dyDescent="0.3">
      <c r="B11" s="2">
        <v>7</v>
      </c>
      <c r="C11" s="3" t="s">
        <v>25</v>
      </c>
      <c r="D11" s="3" t="s">
        <v>26</v>
      </c>
      <c r="E11" s="3" t="s">
        <v>21</v>
      </c>
      <c r="F11" s="3" t="s">
        <v>22</v>
      </c>
    </row>
    <row r="12" spans="2:6" x14ac:dyDescent="0.3">
      <c r="B12" s="2">
        <v>8</v>
      </c>
      <c r="C12" s="3" t="s">
        <v>27</v>
      </c>
      <c r="D12" s="3" t="s">
        <v>28</v>
      </c>
      <c r="E12" s="3" t="s">
        <v>21</v>
      </c>
      <c r="F12" s="3" t="s">
        <v>22</v>
      </c>
    </row>
    <row r="13" spans="2:6" ht="18" customHeight="1" x14ac:dyDescent="0.3">
      <c r="B13" s="2">
        <v>9</v>
      </c>
      <c r="C13" s="3" t="s">
        <v>29</v>
      </c>
      <c r="D13" s="3" t="s">
        <v>30</v>
      </c>
      <c r="E13" s="3" t="s">
        <v>31</v>
      </c>
      <c r="F13" s="3" t="s">
        <v>22</v>
      </c>
    </row>
    <row r="14" spans="2:6" x14ac:dyDescent="0.3">
      <c r="B14" s="2">
        <v>10</v>
      </c>
      <c r="C14" s="3" t="s">
        <v>32</v>
      </c>
      <c r="D14" s="3" t="s">
        <v>33</v>
      </c>
      <c r="E14" s="3" t="s">
        <v>34</v>
      </c>
      <c r="F14" s="3" t="s">
        <v>22</v>
      </c>
    </row>
    <row r="15" spans="2:6" x14ac:dyDescent="0.3">
      <c r="B15" s="2">
        <v>11</v>
      </c>
      <c r="C15" s="3" t="s">
        <v>35</v>
      </c>
      <c r="D15" s="3" t="s">
        <v>36</v>
      </c>
      <c r="E15" s="3" t="s">
        <v>37</v>
      </c>
      <c r="F15" s="3" t="s">
        <v>22</v>
      </c>
    </row>
    <row r="16" spans="2:6" ht="18" customHeight="1" x14ac:dyDescent="0.3">
      <c r="B16" s="2">
        <v>12</v>
      </c>
      <c r="C16" s="3" t="s">
        <v>38</v>
      </c>
      <c r="D16" s="3" t="s">
        <v>39</v>
      </c>
      <c r="E16" s="3" t="s">
        <v>40</v>
      </c>
      <c r="F16" s="3" t="s">
        <v>22</v>
      </c>
    </row>
    <row r="17" spans="2:6" ht="18" customHeight="1" x14ac:dyDescent="0.3">
      <c r="B17" s="2">
        <v>13</v>
      </c>
      <c r="C17" s="3" t="s">
        <v>41</v>
      </c>
      <c r="D17" s="3" t="s">
        <v>42</v>
      </c>
      <c r="E17" s="3" t="s">
        <v>43</v>
      </c>
      <c r="F17" s="3" t="s">
        <v>22</v>
      </c>
    </row>
    <row r="18" spans="2:6" ht="18" customHeight="1" x14ac:dyDescent="0.3">
      <c r="B18" s="4"/>
    </row>
    <row r="19" spans="2:6" ht="18" customHeight="1" x14ac:dyDescent="0.3">
      <c r="B19" s="4"/>
    </row>
    <row r="21" spans="2:6" ht="18" customHeight="1" x14ac:dyDescent="0.35">
      <c r="B21" s="8" t="s">
        <v>44</v>
      </c>
      <c r="C21" s="9"/>
      <c r="D21" s="9"/>
      <c r="E21" s="9"/>
      <c r="F21" s="9"/>
    </row>
    <row r="22" spans="2:6" x14ac:dyDescent="0.3">
      <c r="B22" s="2">
        <v>1</v>
      </c>
      <c r="C22" s="3" t="s">
        <v>45</v>
      </c>
      <c r="D22" s="3" t="s">
        <v>46</v>
      </c>
      <c r="E22" s="3" t="s">
        <v>47</v>
      </c>
      <c r="F22" s="3" t="s">
        <v>9</v>
      </c>
    </row>
    <row r="23" spans="2:6" x14ac:dyDescent="0.3">
      <c r="B23" s="2">
        <v>2</v>
      </c>
      <c r="C23" s="3" t="s">
        <v>48</v>
      </c>
      <c r="D23" s="3" t="s">
        <v>49</v>
      </c>
      <c r="E23" s="3" t="s">
        <v>50</v>
      </c>
      <c r="F23" s="3" t="s">
        <v>9</v>
      </c>
    </row>
    <row r="24" spans="2:6" x14ac:dyDescent="0.3">
      <c r="B24" s="2">
        <v>3</v>
      </c>
      <c r="C24" s="3" t="s">
        <v>51</v>
      </c>
      <c r="D24" s="3" t="s">
        <v>52</v>
      </c>
      <c r="E24" s="3" t="s">
        <v>53</v>
      </c>
      <c r="F24" s="3" t="s">
        <v>9</v>
      </c>
    </row>
    <row r="25" spans="2:6" x14ac:dyDescent="0.3">
      <c r="B25" s="2">
        <v>4</v>
      </c>
      <c r="C25" s="3" t="s">
        <v>54</v>
      </c>
      <c r="D25" s="3" t="s">
        <v>55</v>
      </c>
      <c r="E25" s="3" t="s">
        <v>56</v>
      </c>
      <c r="F25" s="3" t="s">
        <v>22</v>
      </c>
    </row>
    <row r="26" spans="2:6" x14ac:dyDescent="0.3">
      <c r="B26" s="2">
        <v>5</v>
      </c>
      <c r="C26" s="3" t="s">
        <v>57</v>
      </c>
      <c r="D26" s="3" t="s">
        <v>58</v>
      </c>
      <c r="E26" s="3" t="s">
        <v>59</v>
      </c>
      <c r="F26" s="3" t="s">
        <v>22</v>
      </c>
    </row>
    <row r="27" spans="2:6" x14ac:dyDescent="0.3">
      <c r="B27" s="2">
        <v>6</v>
      </c>
      <c r="C27" s="3" t="s">
        <v>60</v>
      </c>
      <c r="D27" s="3" t="s">
        <v>61</v>
      </c>
      <c r="E27" s="3" t="s">
        <v>62</v>
      </c>
      <c r="F27" s="3" t="s">
        <v>22</v>
      </c>
    </row>
    <row r="28" spans="2:6" x14ac:dyDescent="0.3">
      <c r="B28" s="2">
        <v>7</v>
      </c>
      <c r="C28" s="3" t="s">
        <v>63</v>
      </c>
      <c r="D28" s="3" t="s">
        <v>64</v>
      </c>
      <c r="E28" s="3" t="s">
        <v>65</v>
      </c>
      <c r="F28" s="3" t="s">
        <v>22</v>
      </c>
    </row>
    <row r="29" spans="2:6" x14ac:dyDescent="0.3">
      <c r="B29" s="2">
        <v>8</v>
      </c>
      <c r="C29" s="3" t="s">
        <v>66</v>
      </c>
      <c r="D29" s="3" t="s">
        <v>67</v>
      </c>
      <c r="E29" s="3" t="s">
        <v>68</v>
      </c>
      <c r="F29" s="3" t="s">
        <v>22</v>
      </c>
    </row>
    <row r="30" spans="2:6" x14ac:dyDescent="0.3">
      <c r="B30" s="2">
        <v>9</v>
      </c>
      <c r="C30" s="3" t="s">
        <v>69</v>
      </c>
      <c r="D30" s="3" t="s">
        <v>307</v>
      </c>
      <c r="E30" s="3" t="s">
        <v>308</v>
      </c>
      <c r="F30" s="3" t="s">
        <v>9</v>
      </c>
    </row>
    <row r="31" spans="2:6" x14ac:dyDescent="0.3">
      <c r="B31" s="2">
        <v>10</v>
      </c>
      <c r="C31" s="3" t="s">
        <v>72</v>
      </c>
      <c r="D31" s="3" t="s">
        <v>73</v>
      </c>
      <c r="E31" s="3" t="s">
        <v>74</v>
      </c>
      <c r="F31" s="3" t="s">
        <v>9</v>
      </c>
    </row>
    <row r="32" spans="2:6" x14ac:dyDescent="0.3">
      <c r="B32" s="2">
        <v>11</v>
      </c>
      <c r="C32" s="3" t="s">
        <v>75</v>
      </c>
      <c r="D32" s="3" t="s">
        <v>76</v>
      </c>
      <c r="E32" s="3" t="s">
        <v>77</v>
      </c>
      <c r="F32" s="3" t="s">
        <v>9</v>
      </c>
    </row>
    <row r="33" spans="2:6" x14ac:dyDescent="0.3">
      <c r="B33" s="2">
        <v>12</v>
      </c>
      <c r="C33" s="3" t="s">
        <v>78</v>
      </c>
      <c r="D33" s="3" t="s">
        <v>79</v>
      </c>
      <c r="E33" s="3" t="s">
        <v>80</v>
      </c>
      <c r="F33" s="3" t="s">
        <v>9</v>
      </c>
    </row>
    <row r="34" spans="2:6" x14ac:dyDescent="0.3">
      <c r="B34" s="2">
        <v>13</v>
      </c>
      <c r="C34" s="3" t="s">
        <v>81</v>
      </c>
      <c r="D34" s="3" t="s">
        <v>82</v>
      </c>
      <c r="E34" s="3" t="s">
        <v>83</v>
      </c>
      <c r="F34" s="3" t="s">
        <v>9</v>
      </c>
    </row>
    <row r="35" spans="2:6" x14ac:dyDescent="0.3">
      <c r="B35" s="2">
        <v>14</v>
      </c>
      <c r="C35" s="3" t="s">
        <v>84</v>
      </c>
      <c r="D35" s="3" t="s">
        <v>85</v>
      </c>
      <c r="E35" s="3" t="s">
        <v>86</v>
      </c>
      <c r="F35" s="3" t="s">
        <v>9</v>
      </c>
    </row>
    <row r="36" spans="2:6" x14ac:dyDescent="0.3">
      <c r="B36" s="2">
        <v>15</v>
      </c>
      <c r="C36" s="3" t="s">
        <v>87</v>
      </c>
      <c r="D36" s="3" t="s">
        <v>88</v>
      </c>
      <c r="E36" s="3" t="s">
        <v>89</v>
      </c>
      <c r="F36" s="3" t="s">
        <v>9</v>
      </c>
    </row>
    <row r="37" spans="2:6" x14ac:dyDescent="0.3">
      <c r="B37" s="4"/>
    </row>
    <row r="38" spans="2:6" x14ac:dyDescent="0.3">
      <c r="B38" s="4"/>
    </row>
    <row r="39" spans="2:6" x14ac:dyDescent="0.3">
      <c r="B39" s="4"/>
    </row>
    <row r="41" spans="2:6" ht="18" customHeight="1" x14ac:dyDescent="0.35">
      <c r="B41" s="8" t="s">
        <v>90</v>
      </c>
      <c r="C41" s="9"/>
      <c r="D41" s="9"/>
      <c r="E41" s="9"/>
      <c r="F41" s="9"/>
    </row>
    <row r="42" spans="2:6" x14ac:dyDescent="0.3">
      <c r="B42" s="2">
        <v>1</v>
      </c>
      <c r="C42" s="3" t="s">
        <v>91</v>
      </c>
      <c r="D42" s="3" t="s">
        <v>92</v>
      </c>
      <c r="E42" s="3" t="s">
        <v>93</v>
      </c>
      <c r="F42" s="3" t="s">
        <v>9</v>
      </c>
    </row>
    <row r="43" spans="2:6" x14ac:dyDescent="0.3">
      <c r="B43" s="2">
        <v>2</v>
      </c>
      <c r="C43" s="3" t="s">
        <v>94</v>
      </c>
      <c r="D43" s="3" t="s">
        <v>95</v>
      </c>
      <c r="E43" s="3" t="s">
        <v>96</v>
      </c>
      <c r="F43" s="3" t="s">
        <v>22</v>
      </c>
    </row>
    <row r="44" spans="2:6" x14ac:dyDescent="0.3">
      <c r="B44" s="2">
        <v>3</v>
      </c>
      <c r="C44" s="3" t="s">
        <v>97</v>
      </c>
      <c r="D44" s="3" t="s">
        <v>98</v>
      </c>
      <c r="E44" s="3" t="s">
        <v>99</v>
      </c>
      <c r="F44" s="3" t="s">
        <v>22</v>
      </c>
    </row>
    <row r="45" spans="2:6" x14ac:dyDescent="0.3">
      <c r="B45" s="2">
        <v>4</v>
      </c>
      <c r="C45" s="3" t="s">
        <v>100</v>
      </c>
      <c r="D45" s="3" t="s">
        <v>101</v>
      </c>
      <c r="E45" s="3" t="s">
        <v>102</v>
      </c>
      <c r="F45" s="3" t="s">
        <v>9</v>
      </c>
    </row>
    <row r="46" spans="2:6" x14ac:dyDescent="0.3">
      <c r="B46" s="2">
        <v>5</v>
      </c>
      <c r="C46" s="3" t="s">
        <v>103</v>
      </c>
      <c r="D46" s="3" t="s">
        <v>104</v>
      </c>
      <c r="E46" s="3" t="s">
        <v>105</v>
      </c>
      <c r="F46" s="3" t="s">
        <v>9</v>
      </c>
    </row>
    <row r="47" spans="2:6" x14ac:dyDescent="0.3">
      <c r="B47" s="4"/>
    </row>
    <row r="48" spans="2:6" x14ac:dyDescent="0.3">
      <c r="B48" s="4"/>
    </row>
    <row r="49" spans="2:6" x14ac:dyDescent="0.3">
      <c r="B49" s="4"/>
    </row>
    <row r="51" spans="2:6" ht="18" customHeight="1" x14ac:dyDescent="0.35">
      <c r="B51" s="8" t="s">
        <v>106</v>
      </c>
      <c r="C51" s="9"/>
      <c r="D51" s="9"/>
      <c r="E51" s="9"/>
      <c r="F51" s="9"/>
    </row>
    <row r="52" spans="2:6" x14ac:dyDescent="0.3">
      <c r="B52" s="2">
        <v>1</v>
      </c>
      <c r="C52" s="3" t="s">
        <v>107</v>
      </c>
      <c r="D52" s="3" t="s">
        <v>108</v>
      </c>
      <c r="E52" s="3" t="s">
        <v>109</v>
      </c>
      <c r="F52" s="3" t="s">
        <v>9</v>
      </c>
    </row>
    <row r="53" spans="2:6" x14ac:dyDescent="0.3">
      <c r="B53" s="2">
        <v>2</v>
      </c>
      <c r="C53" s="3" t="s">
        <v>110</v>
      </c>
      <c r="D53" s="3" t="s">
        <v>111</v>
      </c>
      <c r="E53" s="3" t="s">
        <v>112</v>
      </c>
      <c r="F53" s="3" t="s">
        <v>9</v>
      </c>
    </row>
    <row r="54" spans="2:6" x14ac:dyDescent="0.3">
      <c r="B54" s="2">
        <v>3</v>
      </c>
      <c r="C54" s="3" t="s">
        <v>113</v>
      </c>
      <c r="D54" s="3" t="s">
        <v>114</v>
      </c>
      <c r="E54" s="3" t="s">
        <v>115</v>
      </c>
      <c r="F54" s="3" t="s">
        <v>9</v>
      </c>
    </row>
    <row r="55" spans="2:6" x14ac:dyDescent="0.3">
      <c r="B55" s="2">
        <v>4</v>
      </c>
      <c r="C55" s="3" t="s">
        <v>116</v>
      </c>
      <c r="D55" s="3" t="s">
        <v>117</v>
      </c>
      <c r="E55" s="3" t="s">
        <v>118</v>
      </c>
      <c r="F55" s="3" t="s">
        <v>9</v>
      </c>
    </row>
    <row r="56" spans="2:6" x14ac:dyDescent="0.3">
      <c r="B56" s="2">
        <v>5</v>
      </c>
      <c r="C56" s="3" t="s">
        <v>119</v>
      </c>
      <c r="D56" s="3" t="s">
        <v>120</v>
      </c>
      <c r="E56" s="3" t="s">
        <v>121</v>
      </c>
      <c r="F56" s="3" t="s">
        <v>22</v>
      </c>
    </row>
    <row r="57" spans="2:6" x14ac:dyDescent="0.3">
      <c r="B57" s="2">
        <v>6</v>
      </c>
      <c r="C57" s="3" t="s">
        <v>122</v>
      </c>
      <c r="D57" s="3" t="s">
        <v>123</v>
      </c>
      <c r="E57" s="3" t="s">
        <v>124</v>
      </c>
      <c r="F57" s="3" t="s">
        <v>22</v>
      </c>
    </row>
    <row r="58" spans="2:6" x14ac:dyDescent="0.3">
      <c r="B58" s="2">
        <v>7</v>
      </c>
      <c r="C58" s="3" t="s">
        <v>69</v>
      </c>
      <c r="D58" s="3" t="s">
        <v>70</v>
      </c>
      <c r="E58" s="3" t="s">
        <v>71</v>
      </c>
      <c r="F58" s="3" t="s">
        <v>22</v>
      </c>
    </row>
    <row r="59" spans="2:6" x14ac:dyDescent="0.3">
      <c r="B59" s="2">
        <v>8</v>
      </c>
      <c r="C59" s="3" t="s">
        <v>125</v>
      </c>
      <c r="D59" s="3" t="s">
        <v>126</v>
      </c>
      <c r="E59" s="3" t="s">
        <v>127</v>
      </c>
      <c r="F59" s="3" t="s">
        <v>22</v>
      </c>
    </row>
    <row r="60" spans="2:6" x14ac:dyDescent="0.3">
      <c r="B60" s="4"/>
    </row>
    <row r="61" spans="2:6" x14ac:dyDescent="0.3">
      <c r="B61" s="4"/>
    </row>
    <row r="63" spans="2:6" ht="18" customHeight="1" x14ac:dyDescent="0.35">
      <c r="B63" s="8" t="s">
        <v>128</v>
      </c>
      <c r="C63" s="9"/>
      <c r="D63" s="9"/>
      <c r="E63" s="9"/>
      <c r="F63" s="9"/>
    </row>
    <row r="64" spans="2:6" x14ac:dyDescent="0.3">
      <c r="B64" s="2">
        <v>1</v>
      </c>
      <c r="C64" s="3" t="s">
        <v>129</v>
      </c>
      <c r="D64" s="3" t="s">
        <v>130</v>
      </c>
      <c r="E64" s="3" t="s">
        <v>131</v>
      </c>
      <c r="F64" s="3" t="s">
        <v>9</v>
      </c>
    </row>
    <row r="65" spans="2:6" x14ac:dyDescent="0.3">
      <c r="B65" s="2">
        <v>2</v>
      </c>
      <c r="C65" s="3" t="s">
        <v>132</v>
      </c>
      <c r="D65" s="3" t="s">
        <v>133</v>
      </c>
      <c r="E65" s="3" t="s">
        <v>134</v>
      </c>
      <c r="F65" s="3" t="s">
        <v>9</v>
      </c>
    </row>
    <row r="66" spans="2:6" x14ac:dyDescent="0.3">
      <c r="B66" s="2">
        <v>3</v>
      </c>
      <c r="C66" s="3" t="s">
        <v>135</v>
      </c>
      <c r="D66" s="3" t="s">
        <v>136</v>
      </c>
      <c r="E66" s="3" t="s">
        <v>137</v>
      </c>
      <c r="F66" s="3" t="s">
        <v>9</v>
      </c>
    </row>
    <row r="67" spans="2:6" x14ac:dyDescent="0.3">
      <c r="B67" s="2">
        <v>4</v>
      </c>
      <c r="C67" s="3" t="s">
        <v>138</v>
      </c>
      <c r="D67" s="3" t="s">
        <v>139</v>
      </c>
      <c r="E67" s="3" t="s">
        <v>140</v>
      </c>
      <c r="F67" s="3" t="s">
        <v>9</v>
      </c>
    </row>
    <row r="68" spans="2:6" x14ac:dyDescent="0.3">
      <c r="B68" s="2">
        <v>5</v>
      </c>
      <c r="C68" s="3" t="s">
        <v>141</v>
      </c>
      <c r="D68" s="3" t="s">
        <v>142</v>
      </c>
      <c r="E68" s="3" t="s">
        <v>143</v>
      </c>
      <c r="F68" s="3" t="s">
        <v>9</v>
      </c>
    </row>
    <row r="69" spans="2:6" x14ac:dyDescent="0.3">
      <c r="B69" s="2">
        <v>6</v>
      </c>
      <c r="C69" s="3" t="s">
        <v>144</v>
      </c>
      <c r="D69" s="3" t="s">
        <v>145</v>
      </c>
      <c r="E69" s="3" t="s">
        <v>143</v>
      </c>
      <c r="F69" s="3" t="s">
        <v>9</v>
      </c>
    </row>
    <row r="70" spans="2:6" x14ac:dyDescent="0.3">
      <c r="B70" s="2">
        <v>7</v>
      </c>
      <c r="C70" s="3" t="s">
        <v>146</v>
      </c>
      <c r="D70" s="3" t="s">
        <v>147</v>
      </c>
      <c r="E70" s="3" t="s">
        <v>143</v>
      </c>
      <c r="F70" s="3" t="s">
        <v>9</v>
      </c>
    </row>
    <row r="71" spans="2:6" x14ac:dyDescent="0.3">
      <c r="B71" s="4"/>
    </row>
    <row r="72" spans="2:6" x14ac:dyDescent="0.3">
      <c r="B72" s="4"/>
    </row>
    <row r="73" spans="2:6" x14ac:dyDescent="0.3">
      <c r="B73" s="4"/>
    </row>
    <row r="75" spans="2:6" ht="18" customHeight="1" x14ac:dyDescent="0.35">
      <c r="B75" s="8" t="s">
        <v>148</v>
      </c>
      <c r="C75" s="9"/>
      <c r="D75" s="9"/>
      <c r="E75" s="9"/>
      <c r="F75" s="9"/>
    </row>
    <row r="76" spans="2:6" x14ac:dyDescent="0.3">
      <c r="B76" s="2">
        <v>1</v>
      </c>
      <c r="C76" s="3" t="s">
        <v>149</v>
      </c>
      <c r="D76" s="3" t="s">
        <v>150</v>
      </c>
      <c r="E76" s="3" t="s">
        <v>151</v>
      </c>
      <c r="F76" s="3" t="s">
        <v>9</v>
      </c>
    </row>
    <row r="77" spans="2:6" x14ac:dyDescent="0.3">
      <c r="B77" s="2">
        <v>2</v>
      </c>
      <c r="C77" s="3" t="s">
        <v>152</v>
      </c>
      <c r="D77" s="3" t="s">
        <v>153</v>
      </c>
      <c r="E77" s="3" t="s">
        <v>154</v>
      </c>
      <c r="F77" s="3" t="s">
        <v>9</v>
      </c>
    </row>
    <row r="78" spans="2:6" x14ac:dyDescent="0.3">
      <c r="B78" s="2">
        <v>3</v>
      </c>
      <c r="C78" s="3" t="s">
        <v>155</v>
      </c>
      <c r="D78" s="3" t="s">
        <v>156</v>
      </c>
      <c r="E78" s="3" t="s">
        <v>157</v>
      </c>
      <c r="F78" s="3" t="s">
        <v>9</v>
      </c>
    </row>
    <row r="79" spans="2:6" x14ac:dyDescent="0.3">
      <c r="B79" s="2">
        <v>4</v>
      </c>
      <c r="C79" s="3" t="s">
        <v>158</v>
      </c>
      <c r="D79" s="3" t="s">
        <v>159</v>
      </c>
      <c r="E79" s="3" t="s">
        <v>160</v>
      </c>
      <c r="F79" s="3" t="s">
        <v>9</v>
      </c>
    </row>
    <row r="80" spans="2:6" x14ac:dyDescent="0.3">
      <c r="B80" s="2">
        <v>5</v>
      </c>
      <c r="C80" s="3" t="s">
        <v>161</v>
      </c>
      <c r="D80" s="3" t="s">
        <v>162</v>
      </c>
      <c r="E80" s="3" t="s">
        <v>163</v>
      </c>
      <c r="F80" s="3" t="s">
        <v>9</v>
      </c>
    </row>
    <row r="81" spans="2:6" x14ac:dyDescent="0.3">
      <c r="B81" s="4"/>
    </row>
    <row r="82" spans="2:6" x14ac:dyDescent="0.3">
      <c r="B82" s="4"/>
    </row>
    <row r="83" spans="2:6" x14ac:dyDescent="0.3">
      <c r="B83" s="4"/>
    </row>
    <row r="85" spans="2:6" ht="18" customHeight="1" x14ac:dyDescent="0.35">
      <c r="B85" s="8" t="s">
        <v>164</v>
      </c>
      <c r="C85" s="9"/>
      <c r="D85" s="9"/>
      <c r="E85" s="9"/>
      <c r="F85" s="9"/>
    </row>
    <row r="86" spans="2:6" x14ac:dyDescent="0.3">
      <c r="B86" s="2">
        <v>1</v>
      </c>
      <c r="C86" s="3" t="s">
        <v>165</v>
      </c>
      <c r="D86" s="3" t="s">
        <v>166</v>
      </c>
      <c r="E86" s="3" t="s">
        <v>167</v>
      </c>
      <c r="F86" s="3" t="s">
        <v>9</v>
      </c>
    </row>
    <row r="87" spans="2:6" x14ac:dyDescent="0.3">
      <c r="B87" s="2">
        <v>2</v>
      </c>
      <c r="C87" s="3" t="s">
        <v>168</v>
      </c>
      <c r="D87" s="3" t="s">
        <v>169</v>
      </c>
      <c r="E87" s="3" t="s">
        <v>170</v>
      </c>
      <c r="F87" s="3" t="s">
        <v>22</v>
      </c>
    </row>
    <row r="88" spans="2:6" x14ac:dyDescent="0.3">
      <c r="B88" s="2">
        <v>3</v>
      </c>
      <c r="C88" s="3" t="s">
        <v>171</v>
      </c>
      <c r="D88" s="3" t="s">
        <v>172</v>
      </c>
      <c r="E88" s="3" t="s">
        <v>173</v>
      </c>
      <c r="F88" s="3" t="s">
        <v>9</v>
      </c>
    </row>
    <row r="89" spans="2:6" x14ac:dyDescent="0.3">
      <c r="B89" s="2">
        <v>4</v>
      </c>
      <c r="C89" s="3" t="s">
        <v>174</v>
      </c>
      <c r="D89" s="3" t="s">
        <v>175</v>
      </c>
      <c r="E89" s="3" t="s">
        <v>176</v>
      </c>
      <c r="F89" s="3" t="s">
        <v>9</v>
      </c>
    </row>
    <row r="90" spans="2:6" x14ac:dyDescent="0.3">
      <c r="B90" s="2">
        <v>5</v>
      </c>
      <c r="C90" s="3" t="s">
        <v>177</v>
      </c>
      <c r="D90" s="3" t="s">
        <v>178</v>
      </c>
      <c r="E90" s="3" t="s">
        <v>179</v>
      </c>
      <c r="F90" s="3" t="s">
        <v>9</v>
      </c>
    </row>
    <row r="91" spans="2:6" x14ac:dyDescent="0.3">
      <c r="B91" s="2">
        <v>6</v>
      </c>
      <c r="C91" s="3" t="s">
        <v>180</v>
      </c>
      <c r="D91" s="3" t="s">
        <v>181</v>
      </c>
      <c r="E91" s="3" t="s">
        <v>182</v>
      </c>
      <c r="F91" s="3" t="s">
        <v>9</v>
      </c>
    </row>
    <row r="92" spans="2:6" x14ac:dyDescent="0.3">
      <c r="B92" s="4"/>
    </row>
    <row r="93" spans="2:6" x14ac:dyDescent="0.3">
      <c r="B93" s="4"/>
    </row>
    <row r="94" spans="2:6" x14ac:dyDescent="0.3">
      <c r="B94" s="4"/>
    </row>
    <row r="96" spans="2:6" ht="18" customHeight="1" x14ac:dyDescent="0.35">
      <c r="B96" s="8" t="s">
        <v>183</v>
      </c>
      <c r="C96" s="9"/>
      <c r="D96" s="9"/>
      <c r="E96" s="9"/>
      <c r="F96" s="9"/>
    </row>
    <row r="97" spans="2:6" x14ac:dyDescent="0.3">
      <c r="B97" s="2">
        <v>1</v>
      </c>
      <c r="C97" s="3" t="s">
        <v>184</v>
      </c>
      <c r="D97" s="3" t="s">
        <v>185</v>
      </c>
      <c r="E97" s="3" t="s">
        <v>186</v>
      </c>
      <c r="F97" s="3" t="s">
        <v>9</v>
      </c>
    </row>
    <row r="98" spans="2:6" x14ac:dyDescent="0.3">
      <c r="B98" s="2">
        <v>2</v>
      </c>
      <c r="C98" s="3" t="s">
        <v>187</v>
      </c>
      <c r="D98" s="3" t="s">
        <v>188</v>
      </c>
      <c r="E98" s="3" t="s">
        <v>189</v>
      </c>
      <c r="F98" s="3" t="s">
        <v>9</v>
      </c>
    </row>
    <row r="99" spans="2:6" x14ac:dyDescent="0.3">
      <c r="B99" s="2">
        <v>3</v>
      </c>
      <c r="C99" s="3" t="s">
        <v>190</v>
      </c>
      <c r="D99" s="3" t="s">
        <v>191</v>
      </c>
      <c r="E99" s="3" t="s">
        <v>192</v>
      </c>
      <c r="F99" s="3" t="s">
        <v>9</v>
      </c>
    </row>
    <row r="100" spans="2:6" x14ac:dyDescent="0.3">
      <c r="B100" s="2">
        <v>4</v>
      </c>
      <c r="C100" s="3" t="s">
        <v>193</v>
      </c>
      <c r="D100" s="3" t="s">
        <v>194</v>
      </c>
      <c r="E100" s="3" t="s">
        <v>195</v>
      </c>
      <c r="F100" s="3" t="s">
        <v>9</v>
      </c>
    </row>
    <row r="101" spans="2:6" x14ac:dyDescent="0.3">
      <c r="B101" s="2">
        <v>5</v>
      </c>
      <c r="C101" s="3" t="s">
        <v>196</v>
      </c>
      <c r="D101" s="3" t="s">
        <v>197</v>
      </c>
      <c r="E101" s="3" t="s">
        <v>198</v>
      </c>
      <c r="F101" s="3" t="s">
        <v>9</v>
      </c>
    </row>
    <row r="102" spans="2:6" x14ac:dyDescent="0.3">
      <c r="B102" s="4"/>
    </row>
    <row r="103" spans="2:6" x14ac:dyDescent="0.3">
      <c r="B103" s="4"/>
    </row>
    <row r="104" spans="2:6" x14ac:dyDescent="0.3">
      <c r="B104" s="4"/>
    </row>
    <row r="106" spans="2:6" ht="18" customHeight="1" x14ac:dyDescent="0.35">
      <c r="B106" s="8" t="s">
        <v>199</v>
      </c>
      <c r="C106" s="9"/>
      <c r="D106" s="9"/>
      <c r="E106" s="9"/>
      <c r="F106" s="9"/>
    </row>
    <row r="107" spans="2:6" x14ac:dyDescent="0.3">
      <c r="B107" s="2">
        <v>1</v>
      </c>
      <c r="C107" s="3" t="s">
        <v>200</v>
      </c>
      <c r="D107" s="3" t="s">
        <v>201</v>
      </c>
      <c r="E107" s="3" t="s">
        <v>202</v>
      </c>
      <c r="F107" s="3" t="s">
        <v>9</v>
      </c>
    </row>
    <row r="108" spans="2:6" x14ac:dyDescent="0.3">
      <c r="B108" s="2">
        <v>2</v>
      </c>
      <c r="C108" s="3" t="s">
        <v>203</v>
      </c>
      <c r="D108" s="3" t="s">
        <v>204</v>
      </c>
      <c r="E108" s="3" t="s">
        <v>205</v>
      </c>
      <c r="F108" s="3" t="s">
        <v>9</v>
      </c>
    </row>
    <row r="109" spans="2:6" x14ac:dyDescent="0.3">
      <c r="B109" s="2">
        <v>3</v>
      </c>
      <c r="C109" s="3" t="s">
        <v>206</v>
      </c>
      <c r="D109" s="3" t="s">
        <v>207</v>
      </c>
      <c r="E109" s="3" t="s">
        <v>208</v>
      </c>
      <c r="F109" s="3" t="s">
        <v>9</v>
      </c>
    </row>
    <row r="110" spans="2:6" x14ac:dyDescent="0.3">
      <c r="B110" s="2">
        <v>4</v>
      </c>
      <c r="C110" s="3" t="s">
        <v>209</v>
      </c>
      <c r="D110" s="3" t="s">
        <v>210</v>
      </c>
      <c r="E110" s="3" t="s">
        <v>211</v>
      </c>
      <c r="F110" s="3" t="s">
        <v>9</v>
      </c>
    </row>
    <row r="111" spans="2:6" x14ac:dyDescent="0.3">
      <c r="B111" s="2">
        <v>5</v>
      </c>
      <c r="C111" s="3" t="s">
        <v>212</v>
      </c>
      <c r="D111" s="3" t="s">
        <v>213</v>
      </c>
      <c r="E111" s="3" t="s">
        <v>214</v>
      </c>
      <c r="F111" s="3" t="s">
        <v>9</v>
      </c>
    </row>
    <row r="112" spans="2:6" x14ac:dyDescent="0.3">
      <c r="B112" s="2">
        <v>6</v>
      </c>
      <c r="C112" s="3" t="s">
        <v>215</v>
      </c>
      <c r="D112" s="3" t="s">
        <v>216</v>
      </c>
      <c r="E112" s="3" t="s">
        <v>217</v>
      </c>
      <c r="F112" s="3" t="s">
        <v>9</v>
      </c>
    </row>
    <row r="113" spans="2:6" ht="15" customHeight="1" x14ac:dyDescent="0.3">
      <c r="B113" s="2">
        <v>7</v>
      </c>
      <c r="C113" s="3" t="s">
        <v>218</v>
      </c>
      <c r="D113" s="3" t="s">
        <v>219</v>
      </c>
      <c r="E113" s="3" t="s">
        <v>220</v>
      </c>
      <c r="F113" s="3" t="s">
        <v>9</v>
      </c>
    </row>
    <row r="114" spans="2:6" x14ac:dyDescent="0.3">
      <c r="B114" s="2">
        <v>8</v>
      </c>
      <c r="C114" s="3" t="s">
        <v>221</v>
      </c>
      <c r="D114" s="3" t="s">
        <v>222</v>
      </c>
      <c r="E114" s="3" t="s">
        <v>223</v>
      </c>
      <c r="F114" s="3" t="s">
        <v>9</v>
      </c>
    </row>
    <row r="115" spans="2:6" x14ac:dyDescent="0.3">
      <c r="B115" s="4"/>
    </row>
    <row r="116" spans="2:6" x14ac:dyDescent="0.3">
      <c r="B116" s="4"/>
    </row>
    <row r="117" spans="2:6" x14ac:dyDescent="0.3">
      <c r="B117" s="4"/>
    </row>
    <row r="119" spans="2:6" ht="18" customHeight="1" x14ac:dyDescent="0.35">
      <c r="B119" s="8" t="s">
        <v>224</v>
      </c>
      <c r="C119" s="9"/>
      <c r="D119" s="9"/>
      <c r="E119" s="9"/>
      <c r="F119" s="9"/>
    </row>
    <row r="120" spans="2:6" x14ac:dyDescent="0.3">
      <c r="B120" s="2">
        <v>1</v>
      </c>
      <c r="C120" s="3" t="s">
        <v>225</v>
      </c>
      <c r="D120" s="3" t="s">
        <v>226</v>
      </c>
      <c r="E120" s="3" t="s">
        <v>227</v>
      </c>
      <c r="F120" s="3" t="s">
        <v>9</v>
      </c>
    </row>
    <row r="121" spans="2:6" x14ac:dyDescent="0.3">
      <c r="B121" s="2">
        <v>2</v>
      </c>
      <c r="C121" s="3" t="s">
        <v>228</v>
      </c>
      <c r="D121" s="3" t="s">
        <v>229</v>
      </c>
      <c r="E121" s="3" t="s">
        <v>230</v>
      </c>
      <c r="F121" s="3" t="s">
        <v>9</v>
      </c>
    </row>
    <row r="122" spans="2:6" x14ac:dyDescent="0.3">
      <c r="B122" s="2">
        <v>3</v>
      </c>
      <c r="C122" s="3" t="s">
        <v>231</v>
      </c>
      <c r="D122" s="3" t="s">
        <v>232</v>
      </c>
      <c r="E122" s="3" t="s">
        <v>233</v>
      </c>
      <c r="F122" s="3" t="s">
        <v>9</v>
      </c>
    </row>
    <row r="123" spans="2:6" x14ac:dyDescent="0.3">
      <c r="B123" s="2">
        <v>4</v>
      </c>
      <c r="C123" s="3" t="s">
        <v>234</v>
      </c>
      <c r="D123" s="3" t="s">
        <v>235</v>
      </c>
      <c r="E123" s="3" t="s">
        <v>236</v>
      </c>
      <c r="F123" s="3" t="s">
        <v>9</v>
      </c>
    </row>
    <row r="124" spans="2:6" x14ac:dyDescent="0.3">
      <c r="B124" s="4"/>
    </row>
    <row r="125" spans="2:6" x14ac:dyDescent="0.3">
      <c r="B125" s="4"/>
    </row>
    <row r="126" spans="2:6" x14ac:dyDescent="0.3">
      <c r="B126" s="4"/>
    </row>
    <row r="128" spans="2:6" ht="18" customHeight="1" x14ac:dyDescent="0.35">
      <c r="B128" s="8" t="s">
        <v>237</v>
      </c>
      <c r="C128" s="9"/>
      <c r="D128" s="9"/>
      <c r="E128" s="9"/>
      <c r="F128" s="9"/>
    </row>
    <row r="129" spans="2:6" x14ac:dyDescent="0.3">
      <c r="B129" s="2">
        <v>1</v>
      </c>
      <c r="C129" s="3" t="s">
        <v>238</v>
      </c>
      <c r="D129" s="3" t="s">
        <v>239</v>
      </c>
      <c r="E129" s="3" t="s">
        <v>240</v>
      </c>
      <c r="F129" s="3" t="s">
        <v>9</v>
      </c>
    </row>
    <row r="130" spans="2:6" x14ac:dyDescent="0.3">
      <c r="B130" s="2">
        <v>2</v>
      </c>
      <c r="C130" s="3" t="s">
        <v>241</v>
      </c>
      <c r="D130" s="3" t="s">
        <v>242</v>
      </c>
      <c r="E130" s="3" t="s">
        <v>243</v>
      </c>
      <c r="F130" s="3" t="s">
        <v>9</v>
      </c>
    </row>
    <row r="131" spans="2:6" x14ac:dyDescent="0.3">
      <c r="B131" s="2">
        <v>3</v>
      </c>
      <c r="C131" s="3" t="s">
        <v>244</v>
      </c>
      <c r="D131" s="3" t="s">
        <v>245</v>
      </c>
      <c r="E131" s="3" t="s">
        <v>246</v>
      </c>
      <c r="F131" s="3" t="s">
        <v>9</v>
      </c>
    </row>
    <row r="132" spans="2:6" x14ac:dyDescent="0.3">
      <c r="B132" s="2">
        <v>4</v>
      </c>
      <c r="C132" s="3" t="s">
        <v>247</v>
      </c>
      <c r="D132" s="3" t="s">
        <v>248</v>
      </c>
      <c r="E132" s="3" t="s">
        <v>249</v>
      </c>
      <c r="F132" s="3" t="s">
        <v>9</v>
      </c>
    </row>
    <row r="133" spans="2:6" x14ac:dyDescent="0.3">
      <c r="B133" s="4"/>
    </row>
    <row r="134" spans="2:6" x14ac:dyDescent="0.3">
      <c r="B134" s="4"/>
    </row>
    <row r="135" spans="2:6" x14ac:dyDescent="0.3">
      <c r="B135" s="4"/>
    </row>
    <row r="136" spans="2:6" ht="18" customHeight="1" x14ac:dyDescent="0.35">
      <c r="B136" s="8" t="s">
        <v>303</v>
      </c>
      <c r="C136" s="8"/>
      <c r="D136" s="8"/>
      <c r="E136" s="8"/>
      <c r="F136" s="8"/>
    </row>
    <row r="137" spans="2:6" x14ac:dyDescent="0.3">
      <c r="B137" s="2">
        <v>1</v>
      </c>
      <c r="C137" s="3" t="s">
        <v>250</v>
      </c>
      <c r="D137" s="3" t="s">
        <v>251</v>
      </c>
      <c r="E137" s="3" t="s">
        <v>252</v>
      </c>
      <c r="F137" s="3" t="s">
        <v>9</v>
      </c>
    </row>
    <row r="138" spans="2:6" x14ac:dyDescent="0.3">
      <c r="B138" s="2">
        <v>2</v>
      </c>
      <c r="C138" s="3" t="s">
        <v>253</v>
      </c>
      <c r="D138" s="3" t="s">
        <v>254</v>
      </c>
      <c r="E138" s="3" t="s">
        <v>255</v>
      </c>
      <c r="F138" s="3" t="s">
        <v>9</v>
      </c>
    </row>
    <row r="139" spans="2:6" x14ac:dyDescent="0.3">
      <c r="B139" s="2">
        <v>3</v>
      </c>
      <c r="C139" s="3" t="s">
        <v>256</v>
      </c>
      <c r="D139" s="3" t="s">
        <v>257</v>
      </c>
      <c r="E139" s="3" t="s">
        <v>258</v>
      </c>
      <c r="F139" s="3" t="s">
        <v>9</v>
      </c>
    </row>
    <row r="140" spans="2:6" x14ac:dyDescent="0.3">
      <c r="B140" s="2">
        <v>4</v>
      </c>
      <c r="C140" s="3" t="s">
        <v>259</v>
      </c>
      <c r="D140" s="3" t="s">
        <v>260</v>
      </c>
      <c r="E140" s="3" t="s">
        <v>261</v>
      </c>
      <c r="F140" s="3" t="s">
        <v>9</v>
      </c>
    </row>
    <row r="141" spans="2:6" x14ac:dyDescent="0.3">
      <c r="B141" s="4"/>
    </row>
    <row r="142" spans="2:6" x14ac:dyDescent="0.3">
      <c r="B142" s="4"/>
    </row>
    <row r="143" spans="2:6" x14ac:dyDescent="0.3">
      <c r="B143" s="4"/>
    </row>
    <row r="145" spans="2:6" ht="18" x14ac:dyDescent="0.35">
      <c r="B145" s="8" t="s">
        <v>304</v>
      </c>
      <c r="C145" s="8"/>
      <c r="D145" s="8"/>
      <c r="E145" s="8"/>
      <c r="F145" s="8"/>
    </row>
    <row r="146" spans="2:6" ht="18" customHeight="1" x14ac:dyDescent="0.3">
      <c r="B146" s="2">
        <v>1</v>
      </c>
      <c r="C146" s="3" t="s">
        <v>262</v>
      </c>
      <c r="D146" s="3" t="s">
        <v>263</v>
      </c>
      <c r="E146" s="3" t="s">
        <v>264</v>
      </c>
      <c r="F146" s="3" t="s">
        <v>9</v>
      </c>
    </row>
    <row r="147" spans="2:6" x14ac:dyDescent="0.3">
      <c r="B147" s="2">
        <v>2</v>
      </c>
      <c r="C147" s="3" t="s">
        <v>265</v>
      </c>
      <c r="D147" s="3" t="s">
        <v>266</v>
      </c>
      <c r="E147" s="3" t="s">
        <v>267</v>
      </c>
      <c r="F147" s="3" t="s">
        <v>9</v>
      </c>
    </row>
    <row r="148" spans="2:6" x14ac:dyDescent="0.3">
      <c r="B148" s="2">
        <v>3</v>
      </c>
      <c r="C148" s="3" t="s">
        <v>268</v>
      </c>
      <c r="D148" s="3" t="s">
        <v>269</v>
      </c>
      <c r="E148" s="3" t="s">
        <v>267</v>
      </c>
      <c r="F148" s="3" t="s">
        <v>9</v>
      </c>
    </row>
    <row r="149" spans="2:6" x14ac:dyDescent="0.3">
      <c r="B149" s="2">
        <v>4</v>
      </c>
      <c r="C149" s="3" t="s">
        <v>270</v>
      </c>
      <c r="D149" s="3" t="s">
        <v>271</v>
      </c>
      <c r="E149" s="3" t="s">
        <v>267</v>
      </c>
      <c r="F149" s="3" t="s">
        <v>9</v>
      </c>
    </row>
    <row r="150" spans="2:6" x14ac:dyDescent="0.3">
      <c r="B150" s="2">
        <v>5</v>
      </c>
      <c r="C150" s="3" t="s">
        <v>272</v>
      </c>
      <c r="D150" s="3" t="s">
        <v>273</v>
      </c>
      <c r="E150" s="3" t="s">
        <v>267</v>
      </c>
      <c r="F150" s="3" t="s">
        <v>9</v>
      </c>
    </row>
    <row r="151" spans="2:6" x14ac:dyDescent="0.3">
      <c r="B151" s="2">
        <v>6</v>
      </c>
      <c r="C151" s="3" t="s">
        <v>274</v>
      </c>
      <c r="D151" s="3" t="s">
        <v>275</v>
      </c>
      <c r="E151" s="3" t="s">
        <v>276</v>
      </c>
      <c r="F151" s="3" t="s">
        <v>9</v>
      </c>
    </row>
    <row r="152" spans="2:6" x14ac:dyDescent="0.3">
      <c r="B152" s="2">
        <v>7</v>
      </c>
      <c r="C152" s="3" t="s">
        <v>277</v>
      </c>
      <c r="D152" s="3" t="s">
        <v>278</v>
      </c>
      <c r="E152" s="3" t="s">
        <v>279</v>
      </c>
      <c r="F152" s="3" t="s">
        <v>9</v>
      </c>
    </row>
    <row r="153" spans="2:6" x14ac:dyDescent="0.3">
      <c r="B153" s="4"/>
    </row>
    <row r="154" spans="2:6" x14ac:dyDescent="0.3">
      <c r="B154" s="4"/>
    </row>
    <row r="156" spans="2:6" ht="18" customHeight="1" x14ac:dyDescent="0.3"/>
    <row r="157" spans="2:6" ht="18" x14ac:dyDescent="0.35">
      <c r="B157" s="8" t="s">
        <v>305</v>
      </c>
      <c r="C157" s="9"/>
      <c r="D157" s="9"/>
      <c r="E157" s="9"/>
      <c r="F157" s="9"/>
    </row>
    <row r="158" spans="2:6" x14ac:dyDescent="0.3">
      <c r="B158" s="2">
        <v>1</v>
      </c>
      <c r="C158" s="3" t="s">
        <v>280</v>
      </c>
      <c r="D158" s="3" t="s">
        <v>281</v>
      </c>
      <c r="E158" s="3" t="s">
        <v>282</v>
      </c>
      <c r="F158" s="3" t="s">
        <v>9</v>
      </c>
    </row>
    <row r="159" spans="2:6" x14ac:dyDescent="0.3">
      <c r="B159" s="2">
        <v>2</v>
      </c>
      <c r="C159" s="3" t="s">
        <v>283</v>
      </c>
      <c r="D159" s="3" t="s">
        <v>284</v>
      </c>
      <c r="E159" s="3" t="s">
        <v>285</v>
      </c>
      <c r="F159" s="3" t="s">
        <v>9</v>
      </c>
    </row>
    <row r="160" spans="2:6" x14ac:dyDescent="0.3">
      <c r="B160" s="2">
        <v>3</v>
      </c>
      <c r="C160" s="3" t="s">
        <v>286</v>
      </c>
      <c r="D160" s="3" t="s">
        <v>284</v>
      </c>
      <c r="E160" s="3" t="s">
        <v>287</v>
      </c>
      <c r="F160" s="3" t="s">
        <v>9</v>
      </c>
    </row>
    <row r="161" spans="2:6" ht="18" customHeight="1" x14ac:dyDescent="0.3">
      <c r="B161" s="2">
        <v>4</v>
      </c>
      <c r="C161" s="3" t="s">
        <v>288</v>
      </c>
      <c r="D161" s="3" t="s">
        <v>289</v>
      </c>
      <c r="E161" s="3" t="s">
        <v>290</v>
      </c>
      <c r="F161" s="3" t="s">
        <v>9</v>
      </c>
    </row>
    <row r="162" spans="2:6" ht="18" customHeight="1" x14ac:dyDescent="0.3">
      <c r="B162" s="4"/>
    </row>
    <row r="163" spans="2:6" ht="18" customHeight="1" x14ac:dyDescent="0.3">
      <c r="B163" s="4"/>
    </row>
    <row r="164" spans="2:6" ht="18" customHeight="1" x14ac:dyDescent="0.3">
      <c r="B164" s="4"/>
    </row>
    <row r="165" spans="2:6" ht="18" customHeight="1" x14ac:dyDescent="0.3"/>
    <row r="166" spans="2:6" ht="18" x14ac:dyDescent="0.35">
      <c r="B166" s="8" t="s">
        <v>306</v>
      </c>
      <c r="C166" s="9"/>
      <c r="D166" s="9"/>
      <c r="E166" s="9"/>
      <c r="F166" s="9"/>
    </row>
    <row r="167" spans="2:6" x14ac:dyDescent="0.3">
      <c r="B167" s="2">
        <v>1</v>
      </c>
      <c r="C167" s="3" t="s">
        <v>291</v>
      </c>
      <c r="D167" s="14" t="s">
        <v>292</v>
      </c>
      <c r="E167" s="3" t="s">
        <v>293</v>
      </c>
      <c r="F167" s="3" t="s">
        <v>9</v>
      </c>
    </row>
    <row r="168" spans="2:6" x14ac:dyDescent="0.3">
      <c r="B168" s="2">
        <v>2</v>
      </c>
      <c r="C168" s="3" t="s">
        <v>294</v>
      </c>
      <c r="D168" s="14" t="s">
        <v>295</v>
      </c>
      <c r="E168" s="3" t="s">
        <v>296</v>
      </c>
      <c r="F168" s="3" t="s">
        <v>9</v>
      </c>
    </row>
    <row r="169" spans="2:6" x14ac:dyDescent="0.3">
      <c r="B169" s="2">
        <v>3</v>
      </c>
      <c r="C169" s="3" t="s">
        <v>297</v>
      </c>
      <c r="D169" s="14" t="s">
        <v>298</v>
      </c>
      <c r="E169" s="3" t="s">
        <v>299</v>
      </c>
      <c r="F169" s="3" t="s">
        <v>9</v>
      </c>
    </row>
    <row r="170" spans="2:6" ht="18" customHeight="1" x14ac:dyDescent="0.3">
      <c r="B170" s="2">
        <v>4</v>
      </c>
      <c r="C170" s="3" t="s">
        <v>300</v>
      </c>
      <c r="D170" s="14" t="s">
        <v>301</v>
      </c>
      <c r="E170" s="3" t="s">
        <v>302</v>
      </c>
      <c r="F170" s="3" t="s">
        <v>9</v>
      </c>
    </row>
    <row r="176" spans="2:6" ht="18" x14ac:dyDescent="0.35">
      <c r="B176" s="6" t="s">
        <v>326</v>
      </c>
      <c r="C176" s="7"/>
      <c r="D176" s="7"/>
      <c r="E176" s="7"/>
      <c r="F176" s="7"/>
    </row>
    <row r="177" spans="2:6" ht="18" customHeight="1" x14ac:dyDescent="0.35">
      <c r="B177" s="6"/>
      <c r="C177" s="7"/>
      <c r="D177" s="7"/>
      <c r="E177" s="7"/>
      <c r="F177" s="7"/>
    </row>
    <row r="178" spans="2:6" ht="18" customHeight="1" thickBot="1" x14ac:dyDescent="0.35">
      <c r="C178" s="10" t="s">
        <v>313</v>
      </c>
      <c r="D178" s="10" t="s">
        <v>314</v>
      </c>
      <c r="E178" s="10" t="s">
        <v>315</v>
      </c>
    </row>
    <row r="179" spans="2:6" ht="15" thickBot="1" x14ac:dyDescent="0.35">
      <c r="C179" s="12" t="s">
        <v>309</v>
      </c>
      <c r="D179" s="11" t="s">
        <v>316</v>
      </c>
      <c r="E179" s="5" t="str">
        <f>"Test Coverage : "&amp;TEXT(23/25,"0.00%")</f>
        <v>Test Coverage : 92.00%</v>
      </c>
    </row>
    <row r="180" spans="2:6" ht="15" thickBot="1" x14ac:dyDescent="0.35">
      <c r="C180" s="13" t="s">
        <v>310</v>
      </c>
      <c r="D180" s="11" t="s">
        <v>317</v>
      </c>
      <c r="E180" s="5" t="str">
        <f>"Test Execution : "&amp;TEXT((COUNTIF(F:F,"Pass")+COUNTIF(F:F,"Failure"))/(COUNTIF(F:F,"Pass")+COUNTIF(F:F,"Failure")+COUNTIF(F:F,"Not Executed")),"0.00%")</f>
        <v>Test Execution : 100.00%</v>
      </c>
    </row>
    <row r="181" spans="2:6" ht="15" thickBot="1" x14ac:dyDescent="0.35">
      <c r="C181" s="13" t="s">
        <v>323</v>
      </c>
      <c r="D181" s="11" t="s">
        <v>318</v>
      </c>
      <c r="E181" s="5" t="str">
        <f>"Valid Test Case Percentage : " &amp; TEXT((COUNTIF(C2:C175, "*valid*") / COUNTA(B2:B175)), "0.00%")</f>
        <v>Valid Test Case Percentage : 23.68%</v>
      </c>
    </row>
    <row r="182" spans="2:6" ht="15" thickBot="1" x14ac:dyDescent="0.35">
      <c r="C182" s="13" t="s">
        <v>324</v>
      </c>
      <c r="D182" s="11" t="s">
        <v>319</v>
      </c>
      <c r="E182" s="5" t="str">
        <f>"Invalid Test Case Percentage : " &amp; TEXT((COUNTIF(C2:C175, "*invalid*") / COUNTA(B2:B175)), "0.00%")</f>
        <v>Invalid Test Case Percentage : 6.14%</v>
      </c>
    </row>
    <row r="183" spans="2:6" ht="15" thickBot="1" x14ac:dyDescent="0.35">
      <c r="C183" s="13" t="s">
        <v>311</v>
      </c>
      <c r="D183" s="11" t="s">
        <v>320</v>
      </c>
      <c r="E183" s="5" t="str">
        <f>"Pass Rate : "&amp;TEXT(COUNTIF(F:F,"Pass")/(COUNTIF(F:F,"Pass")+COUNTIF(F:F,"Failure")),"0.00%")</f>
        <v>Pass Rate : 78.79%</v>
      </c>
    </row>
    <row r="184" spans="2:6" ht="15" thickBot="1" x14ac:dyDescent="0.35">
      <c r="C184" s="13" t="s">
        <v>312</v>
      </c>
      <c r="D184" s="11" t="s">
        <v>321</v>
      </c>
      <c r="E184" s="5" t="str">
        <f>"Fail Rate : "&amp;TEXT(COUNTIF(F:F,"Failure")/(COUNTIF(F:F,"Pass")+COUNTIF(F:F,"Failure")),"0.00%")</f>
        <v>Fail Rate : 21.21%</v>
      </c>
    </row>
    <row r="185" spans="2:6" ht="18" customHeight="1" thickBot="1" x14ac:dyDescent="0.35">
      <c r="C185" s="13" t="s">
        <v>325</v>
      </c>
      <c r="D185" s="11" t="s">
        <v>322</v>
      </c>
      <c r="E185" s="5" t="str">
        <f>"Defect Detection Rate : " &amp; TEXT((COUNTIF(F2:F175, "Failure") / COUNTA(B2:B175)), "0.00%")</f>
        <v>Defect Detection Rate : 18.42%</v>
      </c>
    </row>
    <row r="191" spans="2:6" ht="18" customHeight="1" x14ac:dyDescent="0.3"/>
    <row r="192" spans="2:6" ht="18" customHeight="1" x14ac:dyDescent="0.3"/>
    <row r="199" ht="18" customHeight="1" x14ac:dyDescent="0.3"/>
    <row r="200" ht="18" customHeight="1" x14ac:dyDescent="0.3"/>
    <row r="206" ht="18" customHeight="1" x14ac:dyDescent="0.3"/>
    <row r="207" ht="18" customHeight="1" x14ac:dyDescent="0.3"/>
    <row r="213" ht="18" customHeight="1" x14ac:dyDescent="0.3"/>
    <row r="214" ht="18" customHeight="1" x14ac:dyDescent="0.3"/>
  </sheetData>
  <mergeCells count="17">
    <mergeCell ref="B177:F177"/>
    <mergeCell ref="B128:F128"/>
    <mergeCell ref="B136:F136"/>
    <mergeCell ref="B145:F145"/>
    <mergeCell ref="B157:F157"/>
    <mergeCell ref="B166:F166"/>
    <mergeCell ref="B75:F75"/>
    <mergeCell ref="B85:F85"/>
    <mergeCell ref="B96:F96"/>
    <mergeCell ref="B106:F106"/>
    <mergeCell ref="B119:F119"/>
    <mergeCell ref="B4:F4"/>
    <mergeCell ref="B21:F21"/>
    <mergeCell ref="B41:F41"/>
    <mergeCell ref="B51:F51"/>
    <mergeCell ref="B63:F63"/>
    <mergeCell ref="B176:F176"/>
  </mergeCells>
  <conditionalFormatting sqref="F5:F20 F22:F40 F42:F50 F52:F59">
    <cfRule type="cellIs" dxfId="23" priority="23" operator="equal">
      <formula>"Failure"</formula>
    </cfRule>
    <cfRule type="cellIs" dxfId="22" priority="24" operator="equal">
      <formula>"Pass"</formula>
    </cfRule>
  </conditionalFormatting>
  <conditionalFormatting sqref="F64:F70">
    <cfRule type="cellIs" dxfId="21" priority="21" operator="equal">
      <formula>"Failure"</formula>
    </cfRule>
    <cfRule type="cellIs" dxfId="20" priority="22" operator="equal">
      <formula>"Pass"</formula>
    </cfRule>
  </conditionalFormatting>
  <conditionalFormatting sqref="F76:F80">
    <cfRule type="cellIs" dxfId="19" priority="19" operator="equal">
      <formula>"Failure"</formula>
    </cfRule>
    <cfRule type="cellIs" dxfId="18" priority="20" operator="equal">
      <formula>"Pass"</formula>
    </cfRule>
  </conditionalFormatting>
  <conditionalFormatting sqref="F86:F91">
    <cfRule type="cellIs" dxfId="17" priority="17" operator="equal">
      <formula>"Failure"</formula>
    </cfRule>
    <cfRule type="cellIs" dxfId="16" priority="18" operator="equal">
      <formula>"Pass"</formula>
    </cfRule>
  </conditionalFormatting>
  <conditionalFormatting sqref="F97:F101">
    <cfRule type="cellIs" dxfId="15" priority="15" operator="equal">
      <formula>"Failure"</formula>
    </cfRule>
    <cfRule type="cellIs" dxfId="14" priority="16" operator="equal">
      <formula>"Pass"</formula>
    </cfRule>
  </conditionalFormatting>
  <conditionalFormatting sqref="F107:F114">
    <cfRule type="cellIs" dxfId="13" priority="13" operator="equal">
      <formula>"Failure"</formula>
    </cfRule>
    <cfRule type="cellIs" dxfId="12" priority="14" operator="equal">
      <formula>"Pass"</formula>
    </cfRule>
  </conditionalFormatting>
  <conditionalFormatting sqref="F120:F123">
    <cfRule type="cellIs" dxfId="11" priority="11" operator="equal">
      <formula>"Failure"</formula>
    </cfRule>
    <cfRule type="cellIs" dxfId="10" priority="12" operator="equal">
      <formula>"Pass"</formula>
    </cfRule>
  </conditionalFormatting>
  <conditionalFormatting sqref="F129:F132">
    <cfRule type="cellIs" dxfId="9" priority="9" operator="equal">
      <formula>"Failure"</formula>
    </cfRule>
    <cfRule type="cellIs" dxfId="8" priority="10" operator="equal">
      <formula>"Pass"</formula>
    </cfRule>
  </conditionalFormatting>
  <conditionalFormatting sqref="F137:F140">
    <cfRule type="cellIs" dxfId="7" priority="7" operator="equal">
      <formula>"Failure"</formula>
    </cfRule>
    <cfRule type="cellIs" dxfId="6" priority="8" operator="equal">
      <formula>"Pass"</formula>
    </cfRule>
  </conditionalFormatting>
  <conditionalFormatting sqref="F146:F152">
    <cfRule type="cellIs" dxfId="5" priority="5" operator="equal">
      <formula>"Failure"</formula>
    </cfRule>
    <cfRule type="cellIs" dxfId="4" priority="6" operator="equal">
      <formula>"Pass"</formula>
    </cfRule>
  </conditionalFormatting>
  <conditionalFormatting sqref="F158:F161">
    <cfRule type="cellIs" dxfId="3" priority="3" operator="equal">
      <formula>"Failure"</formula>
    </cfRule>
    <cfRule type="cellIs" dxfId="2" priority="4" operator="equal">
      <formula>"Pass"</formula>
    </cfRule>
  </conditionalFormatting>
  <conditionalFormatting sqref="F167:F170">
    <cfRule type="cellIs" dxfId="1" priority="1" operator="equal">
      <formula>"Failure"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F167:F170 F64:F70 F76:F80 F86:F91 F97:F101 F107:F114 F120:F123 F129:F132 F137:F140 F146:F152 F158:F161 F5:F20 F22:F40 F42:F50 F52:F59" xr:uid="{00000000-0002-0000-0000-000000000000}">
      <formula1>"Pass, Failure"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2026-09-24T04:52:03Z</dcterms:created>
  <dcterms:modified xsi:type="dcterms:W3CDTF">2026-09-24T09:22:33Z</dcterms:modified>
</cp:coreProperties>
</file>